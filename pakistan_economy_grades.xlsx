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s" sheetId="1" state="visible" r:id="rId3"/>
    <sheet name="Grading Ke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<sst xmlns="http://schemas.openxmlformats.org/spreadsheetml/2006/main" count="127" uniqueCount="95">
  <si>
    <t xml:space="preserve">Economy of Pakistan — Student Assessment Results  |  Spring 2026  |  QAU School of Economics</t>
  </si>
  <si>
    <t xml:space="preserve">MCQ max: 30 pts  |  Short Questions: 3 × 5 pts = 15 pts  |  Grand Total: 45 pts</t>
  </si>
  <si>
    <t xml:space="preserve">Roll No.</t>
  </si>
  <si>
    <t xml:space="preserve">Student Name</t>
  </si>
  <si>
    <t xml:space="preserve">Programme</t>
  </si>
  <si>
    <t xml:space="preserve">MCQs
/30</t>
  </si>
  <si>
    <t xml:space="preserve">SQ1
/5</t>
  </si>
  <si>
    <t xml:space="preserve">SQ2
/5</t>
  </si>
  <si>
    <t xml:space="preserve">SQ3
/5</t>
  </si>
  <si>
    <t xml:space="preserve">SQ Total
/15</t>
  </si>
  <si>
    <t xml:space="preserve">Grand Total
/45</t>
  </si>
  <si>
    <t xml:space="preserve">%</t>
  </si>
  <si>
    <t xml:space="preserve">Verdict</t>
  </si>
  <si>
    <t xml:space="preserve">Notes</t>
  </si>
  <si>
    <t xml:space="preserve">4092214003</t>
  </si>
  <si>
    <t xml:space="preserve">Jawad Ali Jakhro</t>
  </si>
  <si>
    <t xml:space="preserve">BS Economics</t>
  </si>
  <si>
    <t xml:space="preserve">Pass</t>
  </si>
  <si>
    <t xml:space="preserve">SQ2 AI-suspected — content scored, penalised</t>
  </si>
  <si>
    <t xml:space="preserve">4092214017</t>
  </si>
  <si>
    <t xml:space="preserve">Rasool Jan</t>
  </si>
  <si>
    <t xml:space="preserve">Below Pass</t>
  </si>
  <si>
    <t xml:space="preserve">SQ2 &amp; SQ3: no response submitted</t>
  </si>
  <si>
    <t xml:space="preserve">4092214026</t>
  </si>
  <si>
    <t xml:space="preserve">Muhammad Awais Sheikh</t>
  </si>
  <si>
    <t xml:space="preserve">BS Economics 8th</t>
  </si>
  <si>
    <t xml:space="preserve">SQ1 misread question; SQ2–3 brief but correct</t>
  </si>
  <si>
    <t xml:space="preserve">4092214024</t>
  </si>
  <si>
    <t xml:space="preserve">Sohail Khan</t>
  </si>
  <si>
    <t xml:space="preserve">Consistent Lewis-model reasoning throughout</t>
  </si>
  <si>
    <t xml:space="preserve">4092214015</t>
  </si>
  <si>
    <t xml:space="preserve">Subhanullah</t>
  </si>
  <si>
    <t xml:space="preserve">BS</t>
  </si>
  <si>
    <t xml:space="preserve">Correct concepts; imprecise phrasing across all</t>
  </si>
  <si>
    <t xml:space="preserve">4092214016</t>
  </si>
  <si>
    <t xml:space="preserve">Adnan Ali</t>
  </si>
  <si>
    <t xml:space="preserve">SQ2 misread question; SQ3 vague</t>
  </si>
  <si>
    <t xml:space="preserve">4092214018</t>
  </si>
  <si>
    <t xml:space="preserve">Iman Hashmat</t>
  </si>
  <si>
    <t xml:space="preserve">SQ1 possibly AI-scaffolded; content thin</t>
  </si>
  <si>
    <t xml:space="preserve">4092214002</t>
  </si>
  <si>
    <t xml:space="preserve">Zaib U Rehman</t>
  </si>
  <si>
    <t xml:space="preserve">SQ3 AI-suspected — off-topic pivot to policy</t>
  </si>
  <si>
    <t xml:space="preserve">4092214023</t>
  </si>
  <si>
    <t xml:space="preserve">Maryam Aziz</t>
  </si>
  <si>
    <t xml:space="preserve">Consistent but surface-level across all SQs</t>
  </si>
  <si>
    <t xml:space="preserve">4092214025</t>
  </si>
  <si>
    <t xml:space="preserve">Aiman Rehman</t>
  </si>
  <si>
    <t xml:space="preserve">SQ2 contradictory reasoning</t>
  </si>
  <si>
    <t xml:space="preserve">4092214021</t>
  </si>
  <si>
    <t xml:space="preserve">Salona Qadir</t>
  </si>
  <si>
    <t xml:space="preserve">Brief throughout; ideas present, underdeveloped</t>
  </si>
  <si>
    <t xml:space="preserve">4092214022</t>
  </si>
  <si>
    <t xml:space="preserve">Abdul Rehman</t>
  </si>
  <si>
    <t xml:space="preserve">SQ1 too brief; SQ2–3 adequate</t>
  </si>
  <si>
    <t xml:space="preserve">4092214012</t>
  </si>
  <si>
    <t xml:space="preserve">Ayesha Tabassum</t>
  </si>
  <si>
    <t xml:space="preserve">Distinction</t>
  </si>
  <si>
    <t xml:space="preserve">Strong MCQ; SQ1 AI-flagged but content ok</t>
  </si>
  <si>
    <t xml:space="preserve">4092214007</t>
  </si>
  <si>
    <t xml:space="preserve">Muhammad Asad Saeed</t>
  </si>
  <si>
    <t xml:space="preserve">Best short answers in cohort — specific &amp; precise</t>
  </si>
  <si>
    <t xml:space="preserve">4092214020</t>
  </si>
  <si>
    <t xml:space="preserve">Kamran Khan</t>
  </si>
  <si>
    <t xml:space="preserve">Bachelor</t>
  </si>
  <si>
    <t xml:space="preserve">SQ1 excellent; SQ2–3 correct if brief</t>
  </si>
  <si>
    <t xml:space="preserve">4092214013</t>
  </si>
  <si>
    <t xml:space="preserve">Huzaifa Abbas</t>
  </si>
  <si>
    <t xml:space="preserve">Suzuki example shows genuine engagement</t>
  </si>
  <si>
    <t xml:space="preserve">4092214006</t>
  </si>
  <si>
    <t xml:space="preserve">Faryal Karim</t>
  </si>
  <si>
    <t xml:space="preserve">Cotton→textile chain correctly traced</t>
  </si>
  <si>
    <t xml:space="preserve">4092214010</t>
  </si>
  <si>
    <t xml:space="preserve">Muhammad Arslan Farooq</t>
  </si>
  <si>
    <t xml:space="preserve">SQ2 off-target; SQ1 &amp; SQ3 adequate</t>
  </si>
  <si>
    <t xml:space="preserve">CLASS AVERAGES</t>
  </si>
  <si>
    <t xml:space="preserve">Grading Key — Short Answer Rubric (5 pts each)</t>
  </si>
  <si>
    <t xml:space="preserve">Score</t>
  </si>
  <si>
    <t xml:space="preserve">Description</t>
  </si>
  <si>
    <t xml:space="preserve">5 / 5</t>
  </si>
  <si>
    <t xml:space="preserve">Correct, complete, uses course concepts precisely</t>
  </si>
  <si>
    <t xml:space="preserve">4 / 5</t>
  </si>
  <si>
    <t xml:space="preserve">Correct with minor gap or slight imprecision</t>
  </si>
  <si>
    <t xml:space="preserve">3 / 5</t>
  </si>
  <si>
    <t xml:space="preserve">Key idea present but underdeveloped or partially off-target</t>
  </si>
  <si>
    <t xml:space="preserve">2 / 5</t>
  </si>
  <si>
    <t xml:space="preserve">Tangential or confused but shows some engagement</t>
  </si>
  <si>
    <t xml:space="preserve">1 / 5</t>
  </si>
  <si>
    <t xml:space="preserve">Barely relevant, very vague</t>
  </si>
  <si>
    <t xml:space="preserve">0 / 5</t>
  </si>
  <si>
    <t xml:space="preserve">No response or wholly irrelevant</t>
  </si>
  <si>
    <t xml:space="preserve">Verdict Thresholds</t>
  </si>
  <si>
    <t xml:space="preserve">80% and above</t>
  </si>
  <si>
    <t xml:space="preserve">60%–79%</t>
  </si>
  <si>
    <t xml:space="preserve">Below 60%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</si>
</sst>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\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C447C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2"/>
      <color rgb="FF633806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b val="true"/>
      <sz val="12"/>
      <color rgb="FF791F1F"/>
      <name val="Arial"/>
      <family val="0"/>
      <charset val="1"/>
    </font>
    <font>
      <b val="true"/>
      <sz val="12"/>
      <color rgb="FF27500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27500A"/>
      <name val="Arial"/>
      <family val="0"/>
      <charset val="1"/>
    </font>
    <font>
      <sz val="10"/>
      <color rgb="FF633806"/>
      <name val="Arial"/>
      <family val="0"/>
      <charset val="1"/>
    </font>
    <font>
      <sz val="10"/>
      <color rgb="FF854F0B"/>
      <name val="Arial"/>
      <family val="0"/>
      <charset val="1"/>
    </font>
    <font>
      <sz val="10"/>
      <color rgb="FF791F1F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E2A1A"/>
        <bgColor rgb="FF27500A"/>
      </patternFill>
    </fill>
    <fill>
      <patternFill patternType="solid">
        <fgColor rgb="FF1A6B3C"/>
        <bgColor rgb="FF0F6E56"/>
      </patternFill>
    </fill>
    <fill>
      <patternFill patternType="solid">
        <fgColor rgb="FF155C33"/>
        <bgColor rgb="FF1A6B3C"/>
      </patternFill>
    </fill>
    <fill>
      <patternFill patternType="solid">
        <fgColor rgb="FFF6FAF7"/>
        <bgColor rgb="FFFFFFFF"/>
      </patternFill>
    </fill>
    <fill>
      <patternFill patternType="solid">
        <fgColor rgb="FFE6F1FB"/>
        <bgColor rgb="FFE1F5EE"/>
      </patternFill>
    </fill>
    <fill>
      <patternFill patternType="solid">
        <fgColor rgb="FFEAF3DE"/>
        <bgColor rgb="FFF1EFE8"/>
      </patternFill>
    </fill>
    <fill>
      <patternFill patternType="solid">
        <fgColor rgb="FFFFF3CD"/>
        <bgColor rgb="FFFAEEDA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CEBEB"/>
      </patternFill>
    </fill>
    <fill>
      <patternFill patternType="solid">
        <fgColor rgb="FFFFFFFF"/>
        <bgColor rgb="FFF6FAF7"/>
      </patternFill>
    </fill>
    <fill>
      <patternFill patternType="solid">
        <fgColor rgb="FFFCEBEB"/>
        <bgColor rgb="FFFAEEDA"/>
      </patternFill>
    </fill>
    <fill>
      <patternFill patternType="solid">
        <fgColor rgb="FFF1EFE8"/>
        <bgColor rgb="FFEAF3D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E0D4"/>
      </left>
      <right style="thin">
        <color rgb="FFCCE0D4"/>
      </right>
      <top style="thin">
        <color rgb="FFCCE0D4"/>
      </top>
      <bottom style="thin">
        <color rgb="FFCCE0D4"/>
      </bottom>
      <diagonal/>
    </border>
    <border diagonalUp="false" diagonalDown="false">
      <left style="thin">
        <color rgb="FFCCE0D4"/>
      </left>
      <right/>
      <top style="thin">
        <color rgb="FFCCE0D4"/>
      </top>
      <bottom style="thin">
        <color rgb="FFCCE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1A6B3C"/>
      <rgbColor rgb="FF000080"/>
      <rgbColor rgb="FF808000"/>
      <rgbColor rgb="FF800080"/>
      <rgbColor rgb="FF0F6E56"/>
      <rgbColor rgb="FFF1EFE8"/>
      <rgbColor rgb="FF808080"/>
      <rgbColor rgb="FF9999FF"/>
      <rgbColor rgb="FF633806"/>
      <rgbColor rgb="FFFFF3CD"/>
      <rgbColor rgb="FFE1F5EE"/>
      <rgbColor rgb="FF660066"/>
      <rgbColor rgb="FFFF8080"/>
      <rgbColor rgb="FF0066CC"/>
      <rgbColor rgb="FFCCE0D4"/>
      <rgbColor rgb="FF000080"/>
      <rgbColor rgb="FFFF00FF"/>
      <rgbColor rgb="FFFFFF00"/>
      <rgbColor rgb="FF00FFFF"/>
      <rgbColor rgb="FF800080"/>
      <rgbColor rgb="FF800000"/>
      <rgbColor rgb="FF155C33"/>
      <rgbColor rgb="FF0000FF"/>
      <rgbColor rgb="FF00CCFF"/>
      <rgbColor rgb="FFE6F1FB"/>
      <rgbColor rgb="FFEAF3DE"/>
      <rgbColor rgb="FFFAEEDA"/>
      <rgbColor rgb="FFF6FAF7"/>
      <rgbColor rgb="FFFF99CC"/>
      <rgbColor rgb="FFCC99FF"/>
      <rgbColor rgb="FFFCEBEB"/>
      <rgbColor rgb="FF3366FF"/>
      <rgbColor rgb="FF33CCCC"/>
      <rgbColor rgb="FF99CC00"/>
      <rgbColor rgb="FFFFCC00"/>
      <rgbColor rgb="FFFF9900"/>
      <rgbColor rgb="FFFF6600"/>
      <rgbColor rgb="FF5F5E5A"/>
      <rgbColor rgb="FFC9A84C"/>
      <rgbColor rgb="FF0C447C"/>
      <rgbColor rgb="FF339966"/>
      <rgbColor rgb="FF0E2A1A"/>
      <rgbColor rgb="FF27500A"/>
      <rgbColor rgb="FF854F0B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7" min="5" style="0" width="7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13"/>
    <col collapsed="false" customWidth="true" hidden="false" outlineLevel="0" max="12" min="12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9.5" hidden="false" customHeight="true" outlineLevel="0" collapsed="false">
      <c r="A4" s="4" t="s">
        <v>14</v>
      </c>
      <c r="B4" s="5" t="s">
        <v>15</v>
      </c>
      <c r="C4" s="6" t="s">
        <v>16</v>
      </c>
      <c r="D4" s="7" t="n">
        <v>20</v>
      </c>
      <c r="E4" s="8" t="n">
        <v>4</v>
      </c>
      <c r="F4" s="9" t="n">
        <v>2</v>
      </c>
      <c r="G4" s="8" t="n">
        <v>4</v>
      </c>
      <c r="H4" s="10" t="n">
        <f aca="false">E4+F4+G4</f>
        <v>10</v>
      </c>
      <c r="I4" s="11" t="n">
        <f aca="false">D4+H4</f>
        <v>30</v>
      </c>
      <c r="J4" s="12" t="n">
        <f aca="false">ROUND(I4/45*100,0)</f>
        <v>67</v>
      </c>
      <c r="K4" s="13" t="s">
        <v>17</v>
      </c>
      <c r="L4" s="14" t="s">
        <v>18</v>
      </c>
    </row>
    <row r="5" customFormat="false" ht="19.5" hidden="false" customHeight="true" outlineLevel="0" collapsed="false">
      <c r="A5" s="15" t="s">
        <v>19</v>
      </c>
      <c r="B5" s="16" t="s">
        <v>20</v>
      </c>
      <c r="C5" s="17" t="s">
        <v>16</v>
      </c>
      <c r="D5" s="7" t="n">
        <v>11</v>
      </c>
      <c r="E5" s="18" t="n">
        <v>1</v>
      </c>
      <c r="F5" s="18" t="n">
        <v>0</v>
      </c>
      <c r="G5" s="18" t="n">
        <v>0</v>
      </c>
      <c r="H5" s="10" t="n">
        <f aca="false">E5+F5+G5</f>
        <v>1</v>
      </c>
      <c r="I5" s="19" t="n">
        <f aca="false">D5+H5</f>
        <v>12</v>
      </c>
      <c r="J5" s="20" t="n">
        <f aca="false">ROUND(I5/45*100,0)</f>
        <v>27</v>
      </c>
      <c r="K5" s="18" t="s">
        <v>21</v>
      </c>
      <c r="L5" s="21" t="s">
        <v>22</v>
      </c>
    </row>
    <row r="6" customFormat="false" ht="19.5" hidden="false" customHeight="true" outlineLevel="0" collapsed="false">
      <c r="A6" s="4" t="s">
        <v>23</v>
      </c>
      <c r="B6" s="5" t="s">
        <v>24</v>
      </c>
      <c r="C6" s="6" t="s">
        <v>25</v>
      </c>
      <c r="D6" s="7" t="n">
        <v>22</v>
      </c>
      <c r="E6" s="9" t="n">
        <v>2</v>
      </c>
      <c r="F6" s="13" t="n">
        <v>3</v>
      </c>
      <c r="G6" s="13" t="n">
        <v>3</v>
      </c>
      <c r="H6" s="10" t="n">
        <f aca="false">E6+F6+G6</f>
        <v>8</v>
      </c>
      <c r="I6" s="11" t="n">
        <f aca="false">D6+H6</f>
        <v>30</v>
      </c>
      <c r="J6" s="12" t="n">
        <f aca="false">ROUND(I6/45*100,0)</f>
        <v>67</v>
      </c>
      <c r="K6" s="13" t="s">
        <v>17</v>
      </c>
      <c r="L6" s="14" t="s">
        <v>26</v>
      </c>
    </row>
    <row r="7" customFormat="false" ht="19.5" hidden="false" customHeight="true" outlineLevel="0" collapsed="false">
      <c r="A7" s="15" t="s">
        <v>27</v>
      </c>
      <c r="B7" s="16" t="s">
        <v>28</v>
      </c>
      <c r="C7" s="17" t="s">
        <v>16</v>
      </c>
      <c r="D7" s="7" t="n">
        <v>20</v>
      </c>
      <c r="E7" s="13" t="n">
        <v>3</v>
      </c>
      <c r="F7" s="13" t="n">
        <v>3</v>
      </c>
      <c r="G7" s="8" t="n">
        <v>4</v>
      </c>
      <c r="H7" s="10" t="n">
        <f aca="false">E7+F7+G7</f>
        <v>10</v>
      </c>
      <c r="I7" s="11" t="n">
        <f aca="false">D7+H7</f>
        <v>30</v>
      </c>
      <c r="J7" s="12" t="n">
        <f aca="false">ROUND(I7/45*100,0)</f>
        <v>67</v>
      </c>
      <c r="K7" s="13" t="s">
        <v>17</v>
      </c>
      <c r="L7" s="21" t="s">
        <v>29</v>
      </c>
    </row>
    <row r="8" customFormat="false" ht="19.5" hidden="false" customHeight="true" outlineLevel="0" collapsed="false">
      <c r="A8" s="4" t="s">
        <v>30</v>
      </c>
      <c r="B8" s="5" t="s">
        <v>31</v>
      </c>
      <c r="C8" s="6" t="s">
        <v>32</v>
      </c>
      <c r="D8" s="7" t="n">
        <v>20</v>
      </c>
      <c r="E8" s="13" t="n">
        <v>3</v>
      </c>
      <c r="F8" s="13" t="n">
        <v>3</v>
      </c>
      <c r="G8" s="13" t="n">
        <v>3</v>
      </c>
      <c r="H8" s="10" t="n">
        <f aca="false">E8+F8+G8</f>
        <v>9</v>
      </c>
      <c r="I8" s="11" t="n">
        <f aca="false">D8+H8</f>
        <v>29</v>
      </c>
      <c r="J8" s="12" t="n">
        <f aca="false">ROUND(I8/45*100,0)</f>
        <v>64</v>
      </c>
      <c r="K8" s="13" t="s">
        <v>17</v>
      </c>
      <c r="L8" s="14" t="s">
        <v>33</v>
      </c>
    </row>
    <row r="9" customFormat="false" ht="19.5" hidden="false" customHeight="true" outlineLevel="0" collapsed="false">
      <c r="A9" s="15" t="s">
        <v>34</v>
      </c>
      <c r="B9" s="16" t="s">
        <v>35</v>
      </c>
      <c r="C9" s="17" t="s">
        <v>16</v>
      </c>
      <c r="D9" s="7" t="n">
        <v>21</v>
      </c>
      <c r="E9" s="13" t="n">
        <v>3</v>
      </c>
      <c r="F9" s="9" t="n">
        <v>2</v>
      </c>
      <c r="G9" s="9" t="n">
        <v>2</v>
      </c>
      <c r="H9" s="10" t="n">
        <f aca="false">E9+F9+G9</f>
        <v>7</v>
      </c>
      <c r="I9" s="11" t="n">
        <f aca="false">D9+H9</f>
        <v>28</v>
      </c>
      <c r="J9" s="12" t="n">
        <f aca="false">ROUND(I9/45*100,0)</f>
        <v>62</v>
      </c>
      <c r="K9" s="13" t="s">
        <v>17</v>
      </c>
      <c r="L9" s="21" t="s">
        <v>36</v>
      </c>
    </row>
    <row r="10" customFormat="false" ht="19.5" hidden="false" customHeight="true" outlineLevel="0" collapsed="false">
      <c r="A10" s="4" t="s">
        <v>37</v>
      </c>
      <c r="B10" s="5" t="s">
        <v>38</v>
      </c>
      <c r="C10" s="6" t="s">
        <v>16</v>
      </c>
      <c r="D10" s="7" t="n">
        <v>19</v>
      </c>
      <c r="E10" s="13" t="n">
        <v>3</v>
      </c>
      <c r="F10" s="9" t="n">
        <v>2</v>
      </c>
      <c r="G10" s="9" t="n">
        <v>2</v>
      </c>
      <c r="H10" s="10" t="n">
        <f aca="false">E10+F10+G10</f>
        <v>7</v>
      </c>
      <c r="I10" s="19" t="n">
        <f aca="false">D10+H10</f>
        <v>26</v>
      </c>
      <c r="J10" s="20" t="n">
        <f aca="false">ROUND(I10/45*100,0)</f>
        <v>58</v>
      </c>
      <c r="K10" s="18" t="s">
        <v>21</v>
      </c>
      <c r="L10" s="14" t="s">
        <v>39</v>
      </c>
    </row>
    <row r="11" customFormat="false" ht="19.5" hidden="false" customHeight="true" outlineLevel="0" collapsed="false">
      <c r="A11" s="15" t="s">
        <v>40</v>
      </c>
      <c r="B11" s="16" t="s">
        <v>41</v>
      </c>
      <c r="C11" s="17" t="s">
        <v>16</v>
      </c>
      <c r="D11" s="7" t="n">
        <v>17</v>
      </c>
      <c r="E11" s="13" t="n">
        <v>3</v>
      </c>
      <c r="F11" s="13" t="n">
        <v>3</v>
      </c>
      <c r="G11" s="9" t="n">
        <v>2</v>
      </c>
      <c r="H11" s="10" t="n">
        <f aca="false">E11+F11+G11</f>
        <v>8</v>
      </c>
      <c r="I11" s="19" t="n">
        <f aca="false">D11+H11</f>
        <v>25</v>
      </c>
      <c r="J11" s="20" t="n">
        <f aca="false">ROUND(I11/45*100,0)</f>
        <v>56</v>
      </c>
      <c r="K11" s="18" t="s">
        <v>21</v>
      </c>
      <c r="L11" s="21" t="s">
        <v>42</v>
      </c>
    </row>
    <row r="12" customFormat="false" ht="19.5" hidden="false" customHeight="true" outlineLevel="0" collapsed="false">
      <c r="A12" s="4" t="s">
        <v>43</v>
      </c>
      <c r="B12" s="5" t="s">
        <v>44</v>
      </c>
      <c r="C12" s="6" t="s">
        <v>32</v>
      </c>
      <c r="D12" s="7" t="n">
        <v>21</v>
      </c>
      <c r="E12" s="13" t="n">
        <v>3</v>
      </c>
      <c r="F12" s="13" t="n">
        <v>3</v>
      </c>
      <c r="G12" s="13" t="n">
        <v>3</v>
      </c>
      <c r="H12" s="10" t="n">
        <f aca="false">E12+F12+G12</f>
        <v>9</v>
      </c>
      <c r="I12" s="11" t="n">
        <f aca="false">D12+H12</f>
        <v>30</v>
      </c>
      <c r="J12" s="12" t="n">
        <f aca="false">ROUND(I12/45*100,0)</f>
        <v>67</v>
      </c>
      <c r="K12" s="13" t="s">
        <v>17</v>
      </c>
      <c r="L12" s="14" t="s">
        <v>45</v>
      </c>
    </row>
    <row r="13" customFormat="false" ht="19.5" hidden="false" customHeight="true" outlineLevel="0" collapsed="false">
      <c r="A13" s="15" t="s">
        <v>46</v>
      </c>
      <c r="B13" s="16" t="s">
        <v>47</v>
      </c>
      <c r="C13" s="17" t="s">
        <v>16</v>
      </c>
      <c r="D13" s="7" t="n">
        <v>19</v>
      </c>
      <c r="E13" s="13" t="n">
        <v>3</v>
      </c>
      <c r="F13" s="9" t="n">
        <v>2</v>
      </c>
      <c r="G13" s="13" t="n">
        <v>3</v>
      </c>
      <c r="H13" s="10" t="n">
        <f aca="false">E13+F13+G13</f>
        <v>8</v>
      </c>
      <c r="I13" s="11" t="n">
        <f aca="false">D13+H13</f>
        <v>27</v>
      </c>
      <c r="J13" s="12" t="n">
        <f aca="false">ROUND(I13/45*100,0)</f>
        <v>60</v>
      </c>
      <c r="K13" s="13" t="s">
        <v>17</v>
      </c>
      <c r="L13" s="21" t="s">
        <v>48</v>
      </c>
    </row>
    <row r="14" customFormat="false" ht="19.5" hidden="false" customHeight="true" outlineLevel="0" collapsed="false">
      <c r="A14" s="4" t="s">
        <v>49</v>
      </c>
      <c r="B14" s="5" t="s">
        <v>50</v>
      </c>
      <c r="C14" s="6" t="s">
        <v>32</v>
      </c>
      <c r="D14" s="7" t="n">
        <v>21</v>
      </c>
      <c r="E14" s="9" t="n">
        <v>2</v>
      </c>
      <c r="F14" s="9" t="n">
        <v>2</v>
      </c>
      <c r="G14" s="9" t="n">
        <v>2</v>
      </c>
      <c r="H14" s="10" t="n">
        <f aca="false">E14+F14+G14</f>
        <v>6</v>
      </c>
      <c r="I14" s="11" t="n">
        <f aca="false">D14+H14</f>
        <v>27</v>
      </c>
      <c r="J14" s="12" t="n">
        <f aca="false">ROUND(I14/45*100,0)</f>
        <v>60</v>
      </c>
      <c r="K14" s="13" t="s">
        <v>17</v>
      </c>
      <c r="L14" s="14" t="s">
        <v>51</v>
      </c>
    </row>
    <row r="15" customFormat="false" ht="19.5" hidden="false" customHeight="true" outlineLevel="0" collapsed="false">
      <c r="A15" s="15" t="s">
        <v>52</v>
      </c>
      <c r="B15" s="16" t="s">
        <v>53</v>
      </c>
      <c r="C15" s="17" t="s">
        <v>16</v>
      </c>
      <c r="D15" s="7" t="n">
        <v>21</v>
      </c>
      <c r="E15" s="18" t="n">
        <v>1</v>
      </c>
      <c r="F15" s="13" t="n">
        <v>3</v>
      </c>
      <c r="G15" s="13" t="n">
        <v>3</v>
      </c>
      <c r="H15" s="10" t="n">
        <f aca="false">E15+F15+G15</f>
        <v>7</v>
      </c>
      <c r="I15" s="11" t="n">
        <f aca="false">D15+H15</f>
        <v>28</v>
      </c>
      <c r="J15" s="12" t="n">
        <f aca="false">ROUND(I15/45*100,0)</f>
        <v>62</v>
      </c>
      <c r="K15" s="13" t="s">
        <v>17</v>
      </c>
      <c r="L15" s="21" t="s">
        <v>54</v>
      </c>
    </row>
    <row r="16" customFormat="false" ht="19.5" hidden="false" customHeight="true" outlineLevel="0" collapsed="false">
      <c r="A16" s="4" t="s">
        <v>55</v>
      </c>
      <c r="B16" s="5" t="s">
        <v>56</v>
      </c>
      <c r="C16" s="6" t="s">
        <v>16</v>
      </c>
      <c r="D16" s="7" t="n">
        <v>26</v>
      </c>
      <c r="E16" s="13" t="n">
        <v>3</v>
      </c>
      <c r="F16" s="13" t="n">
        <v>3</v>
      </c>
      <c r="G16" s="8" t="n">
        <v>4</v>
      </c>
      <c r="H16" s="10" t="n">
        <f aca="false">E16+F16+G16</f>
        <v>10</v>
      </c>
      <c r="I16" s="22" t="n">
        <f aca="false">D16+H16</f>
        <v>36</v>
      </c>
      <c r="J16" s="23" t="n">
        <f aca="false">ROUND(I16/45*100,0)</f>
        <v>80</v>
      </c>
      <c r="K16" s="8" t="s">
        <v>57</v>
      </c>
      <c r="L16" s="14" t="s">
        <v>58</v>
      </c>
    </row>
    <row r="17" customFormat="false" ht="19.5" hidden="false" customHeight="true" outlineLevel="0" collapsed="false">
      <c r="A17" s="15" t="s">
        <v>59</v>
      </c>
      <c r="B17" s="16" t="s">
        <v>60</v>
      </c>
      <c r="C17" s="17" t="s">
        <v>32</v>
      </c>
      <c r="D17" s="7" t="n">
        <v>26</v>
      </c>
      <c r="E17" s="8" t="n">
        <v>4</v>
      </c>
      <c r="F17" s="8" t="n">
        <v>4</v>
      </c>
      <c r="G17" s="8" t="n">
        <v>4</v>
      </c>
      <c r="H17" s="10" t="n">
        <f aca="false">E17+F17+G17</f>
        <v>12</v>
      </c>
      <c r="I17" s="22" t="n">
        <f aca="false">D17+H17</f>
        <v>38</v>
      </c>
      <c r="J17" s="23" t="n">
        <f aca="false">ROUND(I17/45*100,0)</f>
        <v>84</v>
      </c>
      <c r="K17" s="8" t="s">
        <v>57</v>
      </c>
      <c r="L17" s="21" t="s">
        <v>61</v>
      </c>
    </row>
    <row r="18" customFormat="false" ht="19.5" hidden="false" customHeight="true" outlineLevel="0" collapsed="false">
      <c r="A18" s="4" t="s">
        <v>62</v>
      </c>
      <c r="B18" s="5" t="s">
        <v>63</v>
      </c>
      <c r="C18" s="6" t="s">
        <v>64</v>
      </c>
      <c r="D18" s="7" t="n">
        <v>20</v>
      </c>
      <c r="E18" s="8" t="n">
        <v>4</v>
      </c>
      <c r="F18" s="13" t="n">
        <v>3</v>
      </c>
      <c r="G18" s="13" t="n">
        <v>3</v>
      </c>
      <c r="H18" s="10" t="n">
        <f aca="false">E18+F18+G18</f>
        <v>10</v>
      </c>
      <c r="I18" s="11" t="n">
        <f aca="false">D18+H18</f>
        <v>30</v>
      </c>
      <c r="J18" s="12" t="n">
        <f aca="false">ROUND(I18/45*100,0)</f>
        <v>67</v>
      </c>
      <c r="K18" s="13" t="s">
        <v>17</v>
      </c>
      <c r="L18" s="14" t="s">
        <v>65</v>
      </c>
    </row>
    <row r="19" customFormat="false" ht="19.5" hidden="false" customHeight="true" outlineLevel="0" collapsed="false">
      <c r="A19" s="15" t="s">
        <v>66</v>
      </c>
      <c r="B19" s="16" t="s">
        <v>67</v>
      </c>
      <c r="C19" s="17" t="s">
        <v>16</v>
      </c>
      <c r="D19" s="7" t="n">
        <v>16</v>
      </c>
      <c r="E19" s="13" t="n">
        <v>3</v>
      </c>
      <c r="F19" s="13" t="n">
        <v>3</v>
      </c>
      <c r="G19" s="8" t="n">
        <v>4</v>
      </c>
      <c r="H19" s="10" t="n">
        <f aca="false">E19+F19+G19</f>
        <v>10</v>
      </c>
      <c r="I19" s="19" t="n">
        <f aca="false">D19+H19</f>
        <v>26</v>
      </c>
      <c r="J19" s="20" t="n">
        <f aca="false">ROUND(I19/45*100,0)</f>
        <v>58</v>
      </c>
      <c r="K19" s="18" t="s">
        <v>21</v>
      </c>
      <c r="L19" s="21" t="s">
        <v>68</v>
      </c>
    </row>
    <row r="20" customFormat="false" ht="19.5" hidden="false" customHeight="true" outlineLevel="0" collapsed="false">
      <c r="A20" s="4" t="s">
        <v>69</v>
      </c>
      <c r="B20" s="5" t="s">
        <v>70</v>
      </c>
      <c r="C20" s="6" t="s">
        <v>16</v>
      </c>
      <c r="D20" s="7" t="n">
        <v>21</v>
      </c>
      <c r="E20" s="13" t="n">
        <v>3</v>
      </c>
      <c r="F20" s="13" t="n">
        <v>3</v>
      </c>
      <c r="G20" s="8" t="n">
        <v>4</v>
      </c>
      <c r="H20" s="10" t="n">
        <f aca="false">E20+F20+G20</f>
        <v>10</v>
      </c>
      <c r="I20" s="11" t="n">
        <f aca="false">D20+H20</f>
        <v>31</v>
      </c>
      <c r="J20" s="12" t="n">
        <f aca="false">ROUND(I20/45*100,0)</f>
        <v>69</v>
      </c>
      <c r="K20" s="13" t="s">
        <v>17</v>
      </c>
      <c r="L20" s="14" t="s">
        <v>71</v>
      </c>
    </row>
    <row r="21" customFormat="false" ht="19.5" hidden="false" customHeight="true" outlineLevel="0" collapsed="false">
      <c r="A21" s="15" t="s">
        <v>72</v>
      </c>
      <c r="B21" s="16" t="s">
        <v>73</v>
      </c>
      <c r="C21" s="17" t="s">
        <v>32</v>
      </c>
      <c r="D21" s="7" t="n">
        <v>18</v>
      </c>
      <c r="E21" s="13" t="n">
        <v>3</v>
      </c>
      <c r="F21" s="9" t="n">
        <v>2</v>
      </c>
      <c r="G21" s="13" t="n">
        <v>3</v>
      </c>
      <c r="H21" s="10" t="n">
        <f aca="false">E21+F21+G21</f>
        <v>8</v>
      </c>
      <c r="I21" s="19" t="n">
        <f aca="false">D21+H21</f>
        <v>26</v>
      </c>
      <c r="J21" s="20" t="n">
        <f aca="false">ROUND(I21/45*100,0)</f>
        <v>58</v>
      </c>
      <c r="K21" s="18" t="s">
        <v>21</v>
      </c>
      <c r="L21" s="21" t="s">
        <v>74</v>
      </c>
    </row>
    <row r="22" customFormat="false" ht="21.75" hidden="false" customHeight="true" outlineLevel="0" collapsed="false">
      <c r="A22" s="24" t="s">
        <v>75</v>
      </c>
      <c r="B22" s="24"/>
      <c r="C22" s="24"/>
      <c r="D22" s="25" t="n">
        <f aca="false">ROUND(AVERAGE(D4:D21),1)</f>
        <v>19.9</v>
      </c>
      <c r="E22" s="25" t="n">
        <f aca="false">ROUND(AVERAGE(E4:E21),1)</f>
        <v>2.8</v>
      </c>
      <c r="F22" s="25" t="n">
        <f aca="false">ROUND(AVERAGE(F4:F21),1)</f>
        <v>2.6</v>
      </c>
      <c r="G22" s="25" t="n">
        <f aca="false">ROUND(AVERAGE(G4:G21),1)</f>
        <v>2.9</v>
      </c>
      <c r="H22" s="25" t="n">
        <f aca="false">ROUND(AVERAGE(H4:H21),1)</f>
        <v>8.3</v>
      </c>
      <c r="I22" s="25" t="n">
        <f aca="false">ROUND(AVERAGE(I4:I21),1)</f>
        <v>28.3</v>
      </c>
      <c r="J22" s="25" t="n">
        <f aca="false">ROUND(AVERAGE(J4:J21),1)</f>
        <v>62.9</v>
      </c>
      <c r="K22" s="26"/>
      <c r="L22" s="26"/>
    </row>
  </sheetData>
  <mergeCells count="3">
    <mergeCell ref="A1:L1"/>
    <mergeCell ref="A2:L2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</cols>
  <sheetData>
    <row r="1" customFormat="false" ht="24" hidden="false" customHeight="true" outlineLevel="0" collapsed="false">
      <c r="A1" s="27" t="s">
        <v>76</v>
      </c>
      <c r="B1" s="27"/>
    </row>
    <row r="2" customFormat="false" ht="18" hidden="false" customHeight="true" outlineLevel="0" collapsed="false">
      <c r="A2" s="28" t="s">
        <v>77</v>
      </c>
      <c r="B2" s="28" t="s">
        <v>78</v>
      </c>
    </row>
    <row r="3" customFormat="false" ht="18" hidden="false" customHeight="true" outlineLevel="0" collapsed="false">
      <c r="A3" s="29" t="s">
        <v>79</v>
      </c>
      <c r="B3" s="29" t="s">
        <v>80</v>
      </c>
    </row>
    <row r="4" customFormat="false" ht="18" hidden="false" customHeight="true" outlineLevel="0" collapsed="false">
      <c r="A4" s="30" t="s">
        <v>81</v>
      </c>
      <c r="B4" s="30" t="s">
        <v>82</v>
      </c>
    </row>
    <row r="5" customFormat="false" ht="18" hidden="false" customHeight="true" outlineLevel="0" collapsed="false">
      <c r="A5" s="31" t="s">
        <v>83</v>
      </c>
      <c r="B5" s="31" t="s">
        <v>84</v>
      </c>
    </row>
    <row r="6" customFormat="false" ht="18" hidden="false" customHeight="true" outlineLevel="0" collapsed="false">
      <c r="A6" s="32" t="s">
        <v>85</v>
      </c>
      <c r="B6" s="32" t="s">
        <v>86</v>
      </c>
    </row>
    <row r="7" customFormat="false" ht="18" hidden="false" customHeight="true" outlineLevel="0" collapsed="false">
      <c r="A7" s="32" t="s">
        <v>87</v>
      </c>
      <c r="B7" s="32" t="s">
        <v>88</v>
      </c>
    </row>
    <row r="8" customFormat="false" ht="18" hidden="false" customHeight="true" outlineLevel="0" collapsed="false">
      <c r="A8" s="33" t="s">
        <v>89</v>
      </c>
      <c r="B8" s="33" t="s">
        <v>90</v>
      </c>
    </row>
    <row r="9" customFormat="false" ht="19.5" hidden="false" customHeight="true" outlineLevel="0" collapsed="false">
      <c r="A9" s="34" t="s">
        <v>91</v>
      </c>
      <c r="B9" s="34"/>
    </row>
    <row r="10" customFormat="false" ht="18" hidden="false" customHeight="true" outlineLevel="0" collapsed="false">
      <c r="A10" s="35" t="s">
        <v>57</v>
      </c>
      <c r="B10" s="35" t="s">
        <v>92</v>
      </c>
    </row>
    <row r="11" customFormat="false" ht="18" hidden="false" customHeight="true" outlineLevel="0" collapsed="false">
      <c r="A11" s="36" t="s">
        <v>17</v>
      </c>
      <c r="B11" s="36" t="s">
        <v>93</v>
      </c>
    </row>
    <row r="12" customFormat="false" ht="18" hidden="false" customHeight="true" outlineLevel="0" collapsed="false">
      <c r="A12" s="37" t="s">
        <v>21</v>
      </c>
      <c r="B12" s="37" t="s">
        <v>94</v>
      </c>
    </row>
  </sheetData>
  <mergeCells count="2">
    <mergeCell ref="A1:B1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2026-05-13T16:48:31Z</dcterms:created>
  <dc:creator>openpyxl</dc:creator>
  <dc:description/>
  <dc:language>en-US</dc:language>
  <cp:lastModifiedBy/>
  <dcterms:modified xsi:type="dcterms:W3CDTF">2026-05-13T16:48:31Z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